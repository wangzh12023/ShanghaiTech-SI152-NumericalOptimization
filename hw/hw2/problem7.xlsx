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33507\Desktop\"/>
    </mc:Choice>
  </mc:AlternateContent>
  <xr:revisionPtr revIDLastSave="0" documentId="13_ncr:1_{E527781E-395D-4B83-BF25-26A26AD773F8}" xr6:coauthVersionLast="47" xr6:coauthVersionMax="47" xr10:uidLastSave="{00000000-0000-0000-0000-000000000000}"/>
  <bookViews>
    <workbookView xWindow="-103" yWindow="-103" windowWidth="33120" windowHeight="18000" activeTab="3" xr2:uid="{00000000-000D-0000-FFFF-FFFF00000000}"/>
  </bookViews>
  <sheets>
    <sheet name="运算结果报告 1" sheetId="2" r:id="rId1"/>
    <sheet name="敏感性报告 1" sheetId="3" r:id="rId2"/>
    <sheet name="极限值报告 1" sheetId="4" r:id="rId3"/>
    <sheet name="Sheet1" sheetId="1" r:id="rId4"/>
  </sheets>
  <definedNames>
    <definedName name="solver_adj" localSheetId="3" hidden="1">Sheet1!$B$2:$T$2</definedName>
    <definedName name="solver_cvg" localSheetId="3" hidden="1">0.0001</definedName>
    <definedName name="solver_drv" localSheetId="3" hidden="1">2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Sheet1!$A$10</definedName>
    <definedName name="solver_lhs10" localSheetId="3" hidden="1">Sheet1!$A$21</definedName>
    <definedName name="solver_lhs11" localSheetId="3" hidden="1">Sheet1!$A$22</definedName>
    <definedName name="solver_lhs12" localSheetId="3" hidden="1">Sheet1!$A$6</definedName>
    <definedName name="solver_lhs13" localSheetId="3" hidden="1">Sheet1!$A$7</definedName>
    <definedName name="solver_lhs14" localSheetId="3" hidden="1">Sheet1!$A$8</definedName>
    <definedName name="solver_lhs15" localSheetId="3" hidden="1">Sheet1!$A$9</definedName>
    <definedName name="solver_lhs16" localSheetId="3" hidden="1">Sheet1!$B$2</definedName>
    <definedName name="solver_lhs17" localSheetId="3" hidden="1">Sheet1!$C$2</definedName>
    <definedName name="solver_lhs18" localSheetId="3" hidden="1">Sheet1!$C$2</definedName>
    <definedName name="solver_lhs19" localSheetId="3" hidden="1">Sheet1!$D$2</definedName>
    <definedName name="solver_lhs2" localSheetId="3" hidden="1">Sheet1!$A$12</definedName>
    <definedName name="solver_lhs20" localSheetId="3" hidden="1">Sheet1!$D$2</definedName>
    <definedName name="solver_lhs21" localSheetId="3" hidden="1">Sheet1!$E$2</definedName>
    <definedName name="solver_lhs22" localSheetId="3" hidden="1">Sheet1!$E$2</definedName>
    <definedName name="solver_lhs23" localSheetId="3" hidden="1">Sheet1!$F$2</definedName>
    <definedName name="solver_lhs24" localSheetId="3" hidden="1">Sheet1!$F$2</definedName>
    <definedName name="solver_lhs25" localSheetId="3" hidden="1">Sheet1!$G$2</definedName>
    <definedName name="solver_lhs26" localSheetId="3" hidden="1">Sheet1!$H$2</definedName>
    <definedName name="solver_lhs27" localSheetId="3" hidden="1">Sheet1!$I$2</definedName>
    <definedName name="solver_lhs28" localSheetId="3" hidden="1">Sheet1!$J$2</definedName>
    <definedName name="solver_lhs29" localSheetId="3" hidden="1">Sheet1!$K$2</definedName>
    <definedName name="solver_lhs3" localSheetId="3" hidden="1">Sheet1!$A$13</definedName>
    <definedName name="solver_lhs30" localSheetId="3" hidden="1">Sheet1!$L$2</definedName>
    <definedName name="solver_lhs31" localSheetId="3" hidden="1">Sheet1!$M$2</definedName>
    <definedName name="solver_lhs32" localSheetId="3" hidden="1">Sheet1!$N$2</definedName>
    <definedName name="solver_lhs33" localSheetId="3" hidden="1">Sheet1!$O$2</definedName>
    <definedName name="solver_lhs34" localSheetId="3" hidden="1">Sheet1!$P$2</definedName>
    <definedName name="solver_lhs35" localSheetId="3" hidden="1">Sheet1!$Q$2</definedName>
    <definedName name="solver_lhs36" localSheetId="3" hidden="1">Sheet1!$R$2</definedName>
    <definedName name="solver_lhs37" localSheetId="3" hidden="1">Sheet1!$S$2</definedName>
    <definedName name="solver_lhs38" localSheetId="3" hidden="1">Sheet1!$T$2</definedName>
    <definedName name="solver_lhs39" localSheetId="3" hidden="1">Sheet1!$T$2</definedName>
    <definedName name="solver_lhs4" localSheetId="3" hidden="1">Sheet1!$A$15</definedName>
    <definedName name="solver_lhs5" localSheetId="3" hidden="1">Sheet1!$A$16</definedName>
    <definedName name="solver_lhs6" localSheetId="3" hidden="1">Sheet1!$A$17</definedName>
    <definedName name="solver_lhs7" localSheetId="3" hidden="1">Sheet1!$A$18</definedName>
    <definedName name="solver_lhs8" localSheetId="3" hidden="1">Sheet1!$A$19</definedName>
    <definedName name="solver_lhs9" localSheetId="3" hidden="1">Sheet1!$A$20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38</definedName>
    <definedName name="solver_nwt" localSheetId="3" hidden="1">1</definedName>
    <definedName name="solver_opt" localSheetId="3" hidden="1">Sheet1!$U$3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10" localSheetId="3" hidden="1">3</definedName>
    <definedName name="solver_rel11" localSheetId="3" hidden="1">3</definedName>
    <definedName name="solver_rel12" localSheetId="3" hidden="1">1</definedName>
    <definedName name="solver_rel13" localSheetId="3" hidden="1">1</definedName>
    <definedName name="solver_rel14" localSheetId="3" hidden="1">1</definedName>
    <definedName name="solver_rel15" localSheetId="3" hidden="1">1</definedName>
    <definedName name="solver_rel16" localSheetId="3" hidden="1">1</definedName>
    <definedName name="solver_rel17" localSheetId="3" hidden="1">1</definedName>
    <definedName name="solver_rel18" localSheetId="3" hidden="1">3</definedName>
    <definedName name="solver_rel19" localSheetId="3" hidden="1">1</definedName>
    <definedName name="solver_rel2" localSheetId="3" hidden="1">3</definedName>
    <definedName name="solver_rel20" localSheetId="3" hidden="1">3</definedName>
    <definedName name="solver_rel21" localSheetId="3" hidden="1">1</definedName>
    <definedName name="solver_rel22" localSheetId="3" hidden="1">3</definedName>
    <definedName name="solver_rel23" localSheetId="3" hidden="1">1</definedName>
    <definedName name="solver_rel24" localSheetId="3" hidden="1">3</definedName>
    <definedName name="solver_rel25" localSheetId="3" hidden="1">1</definedName>
    <definedName name="solver_rel26" localSheetId="3" hidden="1">1</definedName>
    <definedName name="solver_rel27" localSheetId="3" hidden="1">1</definedName>
    <definedName name="solver_rel28" localSheetId="3" hidden="1">1</definedName>
    <definedName name="solver_rel29" localSheetId="3" hidden="1">1</definedName>
    <definedName name="solver_rel3" localSheetId="3" hidden="1">3</definedName>
    <definedName name="solver_rel30" localSheetId="3" hidden="1">1</definedName>
    <definedName name="solver_rel31" localSheetId="3" hidden="1">1</definedName>
    <definedName name="solver_rel32" localSheetId="3" hidden="1">1</definedName>
    <definedName name="solver_rel33" localSheetId="3" hidden="1">1</definedName>
    <definedName name="solver_rel34" localSheetId="3" hidden="1">1</definedName>
    <definedName name="solver_rel35" localSheetId="3" hidden="1">1</definedName>
    <definedName name="solver_rel36" localSheetId="3" hidden="1">1</definedName>
    <definedName name="solver_rel37" localSheetId="3" hidden="1">1</definedName>
    <definedName name="solver_rel38" localSheetId="3" hidden="1">1</definedName>
    <definedName name="solver_rel39" localSheetId="3" hidden="1">1</definedName>
    <definedName name="solver_rel4" localSheetId="3" hidden="1">3</definedName>
    <definedName name="solver_rel5" localSheetId="3" hidden="1">3</definedName>
    <definedName name="solver_rel6" localSheetId="3" hidden="1">3</definedName>
    <definedName name="solver_rel7" localSheetId="3" hidden="1">3</definedName>
    <definedName name="solver_rel8" localSheetId="3" hidden="1">3</definedName>
    <definedName name="solver_rel9" localSheetId="3" hidden="1">3</definedName>
    <definedName name="solver_rhs1" localSheetId="3" hidden="1">Sheet1!$B$10</definedName>
    <definedName name="solver_rhs10" localSheetId="3" hidden="1">Sheet1!$B$21</definedName>
    <definedName name="solver_rhs11" localSheetId="3" hidden="1">Sheet1!$B$22</definedName>
    <definedName name="solver_rhs12" localSheetId="3" hidden="1">Sheet1!$B$6</definedName>
    <definedName name="solver_rhs13" localSheetId="3" hidden="1">Sheet1!$B$7</definedName>
    <definedName name="solver_rhs14" localSheetId="3" hidden="1">Sheet1!$B$8</definedName>
    <definedName name="solver_rhs15" localSheetId="3" hidden="1">Sheet1!$B$9</definedName>
    <definedName name="solver_rhs16" localSheetId="3" hidden="1">Sheet1!$B$4</definedName>
    <definedName name="solver_rhs17" localSheetId="3" hidden="1">Sheet1!$C$4</definedName>
    <definedName name="solver_rhs18" localSheetId="3" hidden="1">0</definedName>
    <definedName name="solver_rhs19" localSheetId="3" hidden="1">Sheet1!$D$4</definedName>
    <definedName name="solver_rhs2" localSheetId="3" hidden="1">Sheet1!$B$12</definedName>
    <definedName name="solver_rhs20" localSheetId="3" hidden="1">0</definedName>
    <definedName name="solver_rhs21" localSheetId="3" hidden="1">Sheet1!$E$4</definedName>
    <definedName name="solver_rhs22" localSheetId="3" hidden="1">0</definedName>
    <definedName name="solver_rhs23" localSheetId="3" hidden="1">Sheet1!$F$4</definedName>
    <definedName name="solver_rhs24" localSheetId="3" hidden="1">0</definedName>
    <definedName name="solver_rhs25" localSheetId="3" hidden="1">Sheet1!$G$4</definedName>
    <definedName name="solver_rhs26" localSheetId="3" hidden="1">Sheet1!$H$4</definedName>
    <definedName name="solver_rhs27" localSheetId="3" hidden="1">Sheet1!$I$4</definedName>
    <definedName name="solver_rhs28" localSheetId="3" hidden="1">Sheet1!$J$4</definedName>
    <definedName name="solver_rhs29" localSheetId="3" hidden="1">Sheet1!$K$4</definedName>
    <definedName name="solver_rhs3" localSheetId="3" hidden="1">Sheet1!$B$13</definedName>
    <definedName name="solver_rhs30" localSheetId="3" hidden="1">Sheet1!$L$4</definedName>
    <definedName name="solver_rhs31" localSheetId="3" hidden="1">Sheet1!$M$4</definedName>
    <definedName name="solver_rhs32" localSheetId="3" hidden="1">Sheet1!$N$4</definedName>
    <definedName name="solver_rhs33" localSheetId="3" hidden="1">Sheet1!$O$4</definedName>
    <definedName name="solver_rhs34" localSheetId="3" hidden="1">Sheet1!$P$4</definedName>
    <definedName name="solver_rhs35" localSheetId="3" hidden="1">Sheet1!$Q$4</definedName>
    <definedName name="solver_rhs36" localSheetId="3" hidden="1">Sheet1!$R$4</definedName>
    <definedName name="solver_rhs37" localSheetId="3" hidden="1">Sheet1!$S$4</definedName>
    <definedName name="solver_rhs38" localSheetId="3" hidden="1">Sheet1!$T$4</definedName>
    <definedName name="solver_rhs39" localSheetId="3" hidden="1">Sheet1!$T$4</definedName>
    <definedName name="solver_rhs4" localSheetId="3" hidden="1">Sheet1!$B$15</definedName>
    <definedName name="solver_rhs5" localSheetId="3" hidden="1">Sheet1!$B$16</definedName>
    <definedName name="solver_rhs6" localSheetId="3" hidden="1">Sheet1!$B$17</definedName>
    <definedName name="solver_rhs7" localSheetId="3" hidden="1">Sheet1!$B$18</definedName>
    <definedName name="solver_rhs8" localSheetId="3" hidden="1">Sheet1!$B$19</definedName>
    <definedName name="solver_rhs9" localSheetId="3" hidden="1">Sheet1!$B$20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A22" i="1"/>
  <c r="A21" i="1"/>
  <c r="A20" i="1"/>
  <c r="A19" i="1"/>
  <c r="A18" i="1"/>
  <c r="A17" i="1"/>
  <c r="A16" i="1"/>
  <c r="A15" i="1"/>
  <c r="A13" i="1"/>
  <c r="A12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<sst xmlns="http://schemas.openxmlformats.org/spreadsheetml/2006/main" count="399" uniqueCount="125">
  <si>
    <t>p_i</t>
  </si>
  <si>
    <t>p_i</t>
    <phoneticPr fontId="1" type="noConversion"/>
  </si>
  <si>
    <t>c_i</t>
  </si>
  <si>
    <t>c_i</t>
    <phoneticPr fontId="1" type="noConversion"/>
  </si>
  <si>
    <t>capacity_i</t>
  </si>
  <si>
    <t>capacity_i</t>
    <phoneticPr fontId="1" type="noConversion"/>
  </si>
  <si>
    <t>Microsoft Excel 16.0 运算结果报告</t>
  </si>
  <si>
    <t>工作表: [problem7.xlsx]Sheet1</t>
  </si>
  <si>
    <t>报告的建立: 2025/10/18 0:02:05</t>
  </si>
  <si>
    <t>结果: 规划求解找到一解，可满足所有的约束及最优状况。</t>
  </si>
  <si>
    <t>规划求解引擎</t>
  </si>
  <si>
    <t>引擎: 单纯线性规划</t>
  </si>
  <si>
    <t>求解时间: 0.328 秒。</t>
  </si>
  <si>
    <t>迭代次数: 18 子问题: 0</t>
  </si>
  <si>
    <t>规划求解选项</t>
  </si>
  <si>
    <t>最大时间 无限制,  迭代 无限制, Precision 0.000001</t>
  </si>
  <si>
    <t>最大子问题数目 无限制, 最大整数解数目 无限制, 整数允许误差 1%, 假设为非负数</t>
  </si>
  <si>
    <t>目标单元格 (最小值)</t>
  </si>
  <si>
    <t>单元格</t>
  </si>
  <si>
    <t>名称</t>
  </si>
  <si>
    <t>初值</t>
  </si>
  <si>
    <t>终值</t>
  </si>
  <si>
    <t>可变单元格</t>
  </si>
  <si>
    <t>整数</t>
  </si>
  <si>
    <t>约束</t>
  </si>
  <si>
    <t>单元格值</t>
  </si>
  <si>
    <t>公式</t>
  </si>
  <si>
    <t>状态</t>
  </si>
  <si>
    <t>型数值</t>
  </si>
  <si>
    <t>$U$3</t>
  </si>
  <si>
    <t>$B$2</t>
  </si>
  <si>
    <t>$C$2</t>
  </si>
  <si>
    <t>$D$2</t>
  </si>
  <si>
    <t>$E$2</t>
  </si>
  <si>
    <t>$F$2</t>
  </si>
  <si>
    <t>$G$2</t>
  </si>
  <si>
    <t>$H$2</t>
  </si>
  <si>
    <t>$I$2</t>
  </si>
  <si>
    <t>$J$2</t>
  </si>
  <si>
    <t>$K$2</t>
  </si>
  <si>
    <t>$L$2</t>
  </si>
  <si>
    <t>$M$2</t>
  </si>
  <si>
    <t>$N$2</t>
  </si>
  <si>
    <t>$O$2</t>
  </si>
  <si>
    <t>$P$2</t>
  </si>
  <si>
    <t>$Q$2</t>
  </si>
  <si>
    <t>$R$2</t>
  </si>
  <si>
    <t>$S$2</t>
  </si>
  <si>
    <t>$T$2</t>
  </si>
  <si>
    <t>$A$10</t>
  </si>
  <si>
    <t>$A$10&lt;=$B$10</t>
  </si>
  <si>
    <t>到达限制值</t>
  </si>
  <si>
    <t>$A$12</t>
  </si>
  <si>
    <t>$A$12&gt;=$B$12</t>
  </si>
  <si>
    <t>$A$13</t>
  </si>
  <si>
    <t>$A$13&gt;=$B$13</t>
  </si>
  <si>
    <t>$A$15</t>
  </si>
  <si>
    <t>$A$15&gt;=$B$15</t>
  </si>
  <si>
    <t>$A$16</t>
  </si>
  <si>
    <t>$A$16&gt;=$B$16</t>
  </si>
  <si>
    <t>$A$17</t>
  </si>
  <si>
    <t>$A$17&gt;=$B$17</t>
  </si>
  <si>
    <t>$A$18</t>
  </si>
  <si>
    <t>$A$18&gt;=$B$18</t>
  </si>
  <si>
    <t>$A$19</t>
  </si>
  <si>
    <t>$A$19&gt;=$B$19</t>
  </si>
  <si>
    <t>$A$20</t>
  </si>
  <si>
    <t>$A$20&gt;=$B$20</t>
  </si>
  <si>
    <t>$A$21</t>
  </si>
  <si>
    <t>$A$21&gt;=$B$21</t>
  </si>
  <si>
    <t>$A$22</t>
  </si>
  <si>
    <t>$A$22&gt;=$B$22</t>
  </si>
  <si>
    <t>$A$6</t>
  </si>
  <si>
    <t>$A$6&lt;=$B$6</t>
  </si>
  <si>
    <t>未到限制值</t>
  </si>
  <si>
    <t>$A$7</t>
  </si>
  <si>
    <t>$A$7&lt;=$B$7</t>
  </si>
  <si>
    <t>$A$8</t>
  </si>
  <si>
    <t>$A$8&lt;=$B$8</t>
  </si>
  <si>
    <t>$A$9</t>
  </si>
  <si>
    <t>$A$9&lt;=$B$9</t>
  </si>
  <si>
    <t>$B$2&lt;=$B$4</t>
  </si>
  <si>
    <t>$C$2&lt;=$C$4</t>
  </si>
  <si>
    <t>$C$2&gt;=0</t>
  </si>
  <si>
    <t>$D$2&lt;=$D$4</t>
  </si>
  <si>
    <t>$D$2&gt;=0</t>
  </si>
  <si>
    <t>$E$2&lt;=$E$4</t>
  </si>
  <si>
    <t>$E$2&gt;=0</t>
  </si>
  <si>
    <t>$F$2&lt;=$F$4</t>
  </si>
  <si>
    <t>$F$2&gt;=0</t>
  </si>
  <si>
    <t>$G$2&lt;=$G$4</t>
  </si>
  <si>
    <t>$H$2&lt;=$H$4</t>
  </si>
  <si>
    <t>$I$2&lt;=$I$4</t>
  </si>
  <si>
    <t>$J$2&lt;=$J$4</t>
  </si>
  <si>
    <t>$K$2&lt;=$K$4</t>
  </si>
  <si>
    <t>$L$2&lt;=$L$4</t>
  </si>
  <si>
    <t>$M$2&lt;=$M$4</t>
  </si>
  <si>
    <t>$N$2&lt;=$N$4</t>
  </si>
  <si>
    <t>$O$2&lt;=$O$4</t>
  </si>
  <si>
    <t>$P$2&lt;=$P$4</t>
  </si>
  <si>
    <t>$Q$2&lt;=$Q$4</t>
  </si>
  <si>
    <t>$R$2&lt;=$R$4</t>
  </si>
  <si>
    <t>$S$2&lt;=$S$4</t>
  </si>
  <si>
    <t>$T$2&lt;=$T$4</t>
  </si>
  <si>
    <t>Microsoft Excel 16.0 敏感性报告</t>
  </si>
  <si>
    <t>报告的建立: 2025/10/18 0:02:06</t>
  </si>
  <si>
    <t>终</t>
  </si>
  <si>
    <t>值</t>
  </si>
  <si>
    <t>递减</t>
  </si>
  <si>
    <t>成本</t>
  </si>
  <si>
    <t>目标式</t>
  </si>
  <si>
    <t>系数</t>
  </si>
  <si>
    <t>允许的</t>
  </si>
  <si>
    <t>增量</t>
  </si>
  <si>
    <t>减量</t>
  </si>
  <si>
    <t>阴影</t>
  </si>
  <si>
    <t>价格</t>
  </si>
  <si>
    <t>限制值</t>
  </si>
  <si>
    <t>Microsoft Excel 16.0 极限值报告</t>
  </si>
  <si>
    <t>报告的建立: 2025/10/18 0:02:08</t>
  </si>
  <si>
    <t>变量</t>
  </si>
  <si>
    <t>下限</t>
  </si>
  <si>
    <t>极限</t>
  </si>
  <si>
    <t>结果</t>
  </si>
  <si>
    <t>上限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</si>
</sst>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b/>
      <sz val="11"/>
      <color indexed="18"/>
      <name val="等线"/>
      <family val="2"/>
      <scheme val="minor"/>
    </font>
    <font>
      <b/>
      <sz val="11"/>
      <color indexed="1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4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D56F-A1F1-4F70-AE30-7E7FE003A3B3}">
  <dimension ref="A1:G81"/>
  <sheetViews>
    <sheetView showGridLines="0" workbookViewId="0"/>
  </sheetViews>
  <sheetFormatPr defaultRowHeight="14.15"/>
  <cols>
    <col min="1" max="1" width="2.140625" customWidth="1"/>
    <col min="2" max="2" width="6.7109375" bestFit="1" customWidth="1"/>
    <col min="3" max="3" width="8.85546875" bestFit="1" customWidth="1"/>
    <col min="4" max="4" width="8.5703125" bestFit="1" customWidth="1"/>
    <col min="5" max="5" width="14.140625" bestFit="1" customWidth="1"/>
    <col min="6" max="6" width="10.5" bestFit="1" customWidth="1"/>
    <col min="7" max="7" width="6.7109375" bestFit="1" customWidth="1"/>
  </cols>
  <sheetData>
    <row r="1" spans="1:5">
      <c r="A1" s="2" t="s">
        <v>6</v>
      </c>
    </row>
    <row r="2" spans="1:5">
      <c r="A2" s="2" t="s">
        <v>7</v>
      </c>
    </row>
    <row r="3" spans="1:5">
      <c r="A3" s="2" t="s">
        <v>8</v>
      </c>
    </row>
    <row r="4" spans="1:5">
      <c r="A4" s="2" t="s">
        <v>9</v>
      </c>
    </row>
    <row r="5" spans="1:5">
      <c r="A5" s="2" t="s">
        <v>10</v>
      </c>
    </row>
    <row r="6" spans="1:5">
      <c r="A6" s="2"/>
      <c r="B6" t="s">
        <v>11</v>
      </c>
    </row>
    <row r="7" spans="1:5">
      <c r="A7" s="2"/>
      <c r="B7" t="s">
        <v>12</v>
      </c>
    </row>
    <row r="8" spans="1:5">
      <c r="A8" s="2"/>
      <c r="B8" t="s">
        <v>13</v>
      </c>
    </row>
    <row r="9" spans="1:5">
      <c r="A9" s="2" t="s">
        <v>14</v>
      </c>
    </row>
    <row r="10" spans="1:5">
      <c r="B10" t="s">
        <v>15</v>
      </c>
    </row>
    <row r="11" spans="1:5">
      <c r="B11" t="s">
        <v>16</v>
      </c>
    </row>
    <row r="14" spans="1:5" ht="14.6" thickBot="1">
      <c r="A14" t="s">
        <v>17</v>
      </c>
    </row>
    <row r="15" spans="1:5" ht="14.6" thickBot="1">
      <c r="B15" s="4" t="s">
        <v>18</v>
      </c>
      <c r="C15" s="4" t="s">
        <v>19</v>
      </c>
      <c r="D15" s="4" t="s">
        <v>20</v>
      </c>
      <c r="E15" s="4" t="s">
        <v>21</v>
      </c>
    </row>
    <row r="16" spans="1:5" ht="14.6" thickBot="1">
      <c r="B16" s="3" t="s">
        <v>29</v>
      </c>
      <c r="C16" s="3" t="s">
        <v>2</v>
      </c>
      <c r="D16" s="6">
        <v>0</v>
      </c>
      <c r="E16" s="6">
        <v>600</v>
      </c>
    </row>
    <row r="19" spans="1:6" ht="14.6" thickBot="1">
      <c r="A19" t="s">
        <v>22</v>
      </c>
    </row>
    <row r="20" spans="1:6" ht="14.6" thickBot="1"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23</v>
      </c>
    </row>
    <row r="21" spans="1:6">
      <c r="B21" s="5" t="s">
        <v>30</v>
      </c>
      <c r="C21" s="5" t="s">
        <v>0</v>
      </c>
      <c r="D21" s="7">
        <v>0</v>
      </c>
      <c r="E21" s="7">
        <v>5</v>
      </c>
      <c r="F21" s="5" t="s">
        <v>24</v>
      </c>
    </row>
    <row r="22" spans="1:6">
      <c r="B22" s="5" t="s">
        <v>31</v>
      </c>
      <c r="C22" s="5" t="s">
        <v>0</v>
      </c>
      <c r="D22" s="7">
        <v>0</v>
      </c>
      <c r="E22" s="7">
        <v>0</v>
      </c>
      <c r="F22" s="5" t="s">
        <v>24</v>
      </c>
    </row>
    <row r="23" spans="1:6">
      <c r="B23" s="5" t="s">
        <v>32</v>
      </c>
      <c r="C23" s="5" t="s">
        <v>0</v>
      </c>
      <c r="D23" s="7">
        <v>0</v>
      </c>
      <c r="E23" s="7">
        <v>50</v>
      </c>
      <c r="F23" s="5" t="s">
        <v>24</v>
      </c>
    </row>
    <row r="24" spans="1:6">
      <c r="B24" s="5" t="s">
        <v>33</v>
      </c>
      <c r="C24" s="5" t="s">
        <v>0</v>
      </c>
      <c r="D24" s="7">
        <v>0</v>
      </c>
      <c r="E24" s="7">
        <v>0</v>
      </c>
      <c r="F24" s="5" t="s">
        <v>24</v>
      </c>
    </row>
    <row r="25" spans="1:6">
      <c r="B25" s="5" t="s">
        <v>34</v>
      </c>
      <c r="C25" s="5" t="s">
        <v>0</v>
      </c>
      <c r="D25" s="7">
        <v>0</v>
      </c>
      <c r="E25" s="7">
        <v>45</v>
      </c>
      <c r="F25" s="5" t="s">
        <v>24</v>
      </c>
    </row>
    <row r="26" spans="1:6">
      <c r="B26" s="5" t="s">
        <v>35</v>
      </c>
      <c r="C26" s="5" t="s">
        <v>0</v>
      </c>
      <c r="D26" s="7">
        <v>0</v>
      </c>
      <c r="E26" s="7">
        <v>0</v>
      </c>
      <c r="F26" s="5" t="s">
        <v>24</v>
      </c>
    </row>
    <row r="27" spans="1:6">
      <c r="B27" s="5" t="s">
        <v>36</v>
      </c>
      <c r="C27" s="5" t="s">
        <v>0</v>
      </c>
      <c r="D27" s="7">
        <v>0</v>
      </c>
      <c r="E27" s="7">
        <v>35</v>
      </c>
      <c r="F27" s="5" t="s">
        <v>24</v>
      </c>
    </row>
    <row r="28" spans="1:6">
      <c r="B28" s="5" t="s">
        <v>37</v>
      </c>
      <c r="C28" s="5" t="s">
        <v>0</v>
      </c>
      <c r="D28" s="7">
        <v>0</v>
      </c>
      <c r="E28" s="7">
        <v>5</v>
      </c>
      <c r="F28" s="5" t="s">
        <v>24</v>
      </c>
    </row>
    <row r="29" spans="1:6">
      <c r="B29" s="5" t="s">
        <v>38</v>
      </c>
      <c r="C29" s="5" t="s">
        <v>0</v>
      </c>
      <c r="D29" s="7">
        <v>0</v>
      </c>
      <c r="E29" s="7">
        <v>10</v>
      </c>
      <c r="F29" s="5" t="s">
        <v>24</v>
      </c>
    </row>
    <row r="30" spans="1:6">
      <c r="B30" s="5" t="s">
        <v>39</v>
      </c>
      <c r="C30" s="5" t="s">
        <v>0</v>
      </c>
      <c r="D30" s="7">
        <v>0</v>
      </c>
      <c r="E30" s="7">
        <v>25</v>
      </c>
      <c r="F30" s="5" t="s">
        <v>24</v>
      </c>
    </row>
    <row r="31" spans="1:6">
      <c r="B31" s="5" t="s">
        <v>40</v>
      </c>
      <c r="C31" s="5" t="s">
        <v>0</v>
      </c>
      <c r="D31" s="7">
        <v>0</v>
      </c>
      <c r="E31" s="7">
        <v>25</v>
      </c>
      <c r="F31" s="5" t="s">
        <v>24</v>
      </c>
    </row>
    <row r="32" spans="1:6">
      <c r="B32" s="5" t="s">
        <v>41</v>
      </c>
      <c r="C32" s="5" t="s">
        <v>0</v>
      </c>
      <c r="D32" s="7">
        <v>0</v>
      </c>
      <c r="E32" s="7">
        <v>30</v>
      </c>
      <c r="F32" s="5" t="s">
        <v>24</v>
      </c>
    </row>
    <row r="33" spans="1:7">
      <c r="B33" s="5" t="s">
        <v>42</v>
      </c>
      <c r="C33" s="5" t="s">
        <v>0</v>
      </c>
      <c r="D33" s="7">
        <v>0</v>
      </c>
      <c r="E33" s="7">
        <v>15</v>
      </c>
      <c r="F33" s="5" t="s">
        <v>24</v>
      </c>
    </row>
    <row r="34" spans="1:7">
      <c r="B34" s="5" t="s">
        <v>43</v>
      </c>
      <c r="C34" s="5" t="s">
        <v>0</v>
      </c>
      <c r="D34" s="7">
        <v>0</v>
      </c>
      <c r="E34" s="7">
        <v>0</v>
      </c>
      <c r="F34" s="5" t="s">
        <v>24</v>
      </c>
    </row>
    <row r="35" spans="1:7">
      <c r="B35" s="5" t="s">
        <v>44</v>
      </c>
      <c r="C35" s="5" t="s">
        <v>0</v>
      </c>
      <c r="D35" s="7">
        <v>0</v>
      </c>
      <c r="E35" s="7">
        <v>0</v>
      </c>
      <c r="F35" s="5" t="s">
        <v>24</v>
      </c>
    </row>
    <row r="36" spans="1:7">
      <c r="B36" s="5" t="s">
        <v>45</v>
      </c>
      <c r="C36" s="5" t="s">
        <v>0</v>
      </c>
      <c r="D36" s="7">
        <v>0</v>
      </c>
      <c r="E36" s="7">
        <v>15</v>
      </c>
      <c r="F36" s="5" t="s">
        <v>24</v>
      </c>
    </row>
    <row r="37" spans="1:7">
      <c r="B37" s="5" t="s">
        <v>46</v>
      </c>
      <c r="C37" s="5" t="s">
        <v>0</v>
      </c>
      <c r="D37" s="7">
        <v>0</v>
      </c>
      <c r="E37" s="7">
        <v>20</v>
      </c>
      <c r="F37" s="5" t="s">
        <v>24</v>
      </c>
    </row>
    <row r="38" spans="1:7">
      <c r="B38" s="5" t="s">
        <v>47</v>
      </c>
      <c r="C38" s="5" t="s">
        <v>0</v>
      </c>
      <c r="D38" s="7">
        <v>0</v>
      </c>
      <c r="E38" s="7">
        <v>25</v>
      </c>
      <c r="F38" s="5" t="s">
        <v>24</v>
      </c>
    </row>
    <row r="39" spans="1:7" ht="14.6" thickBot="1">
      <c r="B39" s="3" t="s">
        <v>48</v>
      </c>
      <c r="C39" s="3" t="s">
        <v>0</v>
      </c>
      <c r="D39" s="6">
        <v>0</v>
      </c>
      <c r="E39" s="6">
        <v>15</v>
      </c>
      <c r="F39" s="3" t="s">
        <v>24</v>
      </c>
    </row>
    <row r="42" spans="1:7" ht="14.6" thickBot="1">
      <c r="A42" t="s">
        <v>24</v>
      </c>
    </row>
    <row r="43" spans="1:7" ht="14.6" thickBot="1">
      <c r="B43" s="4" t="s">
        <v>18</v>
      </c>
      <c r="C43" s="4" t="s">
        <v>19</v>
      </c>
      <c r="D43" s="4" t="s">
        <v>25</v>
      </c>
      <c r="E43" s="4" t="s">
        <v>26</v>
      </c>
      <c r="F43" s="4" t="s">
        <v>27</v>
      </c>
      <c r="G43" s="4" t="s">
        <v>28</v>
      </c>
    </row>
    <row r="44" spans="1:7">
      <c r="B44" s="5" t="s">
        <v>49</v>
      </c>
      <c r="C44" s="5" t="s">
        <v>4</v>
      </c>
      <c r="D44" s="7">
        <v>35</v>
      </c>
      <c r="E44" s="5" t="s">
        <v>50</v>
      </c>
      <c r="F44" s="5" t="s">
        <v>51</v>
      </c>
      <c r="G44" s="5">
        <v>0</v>
      </c>
    </row>
    <row r="45" spans="1:7">
      <c r="B45" s="5" t="s">
        <v>52</v>
      </c>
      <c r="C45" s="5" t="s">
        <v>4</v>
      </c>
      <c r="D45" s="7">
        <v>0</v>
      </c>
      <c r="E45" s="5" t="s">
        <v>53</v>
      </c>
      <c r="F45" s="5" t="s">
        <v>51</v>
      </c>
      <c r="G45" s="7">
        <v>0</v>
      </c>
    </row>
    <row r="46" spans="1:7">
      <c r="B46" s="5" t="s">
        <v>54</v>
      </c>
      <c r="C46" s="5" t="s">
        <v>4</v>
      </c>
      <c r="D46" s="7">
        <v>0</v>
      </c>
      <c r="E46" s="5" t="s">
        <v>55</v>
      </c>
      <c r="F46" s="5" t="s">
        <v>51</v>
      </c>
      <c r="G46" s="7">
        <v>0</v>
      </c>
    </row>
    <row r="47" spans="1:7">
      <c r="B47" s="5" t="s">
        <v>56</v>
      </c>
      <c r="C47" s="5" t="s">
        <v>4</v>
      </c>
      <c r="D47" s="7">
        <v>25</v>
      </c>
      <c r="E47" s="5" t="s">
        <v>57</v>
      </c>
      <c r="F47" s="5" t="s">
        <v>51</v>
      </c>
      <c r="G47" s="7">
        <v>0</v>
      </c>
    </row>
    <row r="48" spans="1:7">
      <c r="B48" s="5" t="s">
        <v>58</v>
      </c>
      <c r="C48" s="5" t="s">
        <v>4</v>
      </c>
      <c r="D48" s="7">
        <v>30</v>
      </c>
      <c r="E48" s="5" t="s">
        <v>59</v>
      </c>
      <c r="F48" s="5" t="s">
        <v>51</v>
      </c>
      <c r="G48" s="7">
        <v>0</v>
      </c>
    </row>
    <row r="49" spans="2:7">
      <c r="B49" s="5" t="s">
        <v>60</v>
      </c>
      <c r="C49" s="5" t="s">
        <v>4</v>
      </c>
      <c r="D49" s="7">
        <v>20</v>
      </c>
      <c r="E49" s="5" t="s">
        <v>61</v>
      </c>
      <c r="F49" s="5" t="s">
        <v>51</v>
      </c>
      <c r="G49" s="7">
        <v>0</v>
      </c>
    </row>
    <row r="50" spans="2:7">
      <c r="B50" s="5" t="s">
        <v>62</v>
      </c>
      <c r="C50" s="5" t="s">
        <v>4</v>
      </c>
      <c r="D50" s="7">
        <v>25</v>
      </c>
      <c r="E50" s="5" t="s">
        <v>63</v>
      </c>
      <c r="F50" s="5" t="s">
        <v>51</v>
      </c>
      <c r="G50" s="7">
        <v>0</v>
      </c>
    </row>
    <row r="51" spans="2:7">
      <c r="B51" s="5" t="s">
        <v>64</v>
      </c>
      <c r="C51" s="5" t="s">
        <v>4</v>
      </c>
      <c r="D51" s="7">
        <v>15</v>
      </c>
      <c r="E51" s="5" t="s">
        <v>65</v>
      </c>
      <c r="F51" s="5" t="s">
        <v>51</v>
      </c>
      <c r="G51" s="7">
        <v>0</v>
      </c>
    </row>
    <row r="52" spans="2:7">
      <c r="B52" s="5" t="s">
        <v>66</v>
      </c>
      <c r="C52" s="5" t="s">
        <v>4</v>
      </c>
      <c r="D52" s="7">
        <v>20</v>
      </c>
      <c r="E52" s="5" t="s">
        <v>67</v>
      </c>
      <c r="F52" s="5" t="s">
        <v>51</v>
      </c>
      <c r="G52" s="7">
        <v>0</v>
      </c>
    </row>
    <row r="53" spans="2:7">
      <c r="B53" s="5" t="s">
        <v>68</v>
      </c>
      <c r="C53" s="5" t="s">
        <v>4</v>
      </c>
      <c r="D53" s="7">
        <v>25</v>
      </c>
      <c r="E53" s="5" t="s">
        <v>69</v>
      </c>
      <c r="F53" s="5" t="s">
        <v>51</v>
      </c>
      <c r="G53" s="7">
        <v>0</v>
      </c>
    </row>
    <row r="54" spans="2:7">
      <c r="B54" s="5" t="s">
        <v>70</v>
      </c>
      <c r="C54" s="5" t="s">
        <v>4</v>
      </c>
      <c r="D54" s="7">
        <v>15</v>
      </c>
      <c r="E54" s="5" t="s">
        <v>71</v>
      </c>
      <c r="F54" s="5" t="s">
        <v>51</v>
      </c>
      <c r="G54" s="7">
        <v>0</v>
      </c>
    </row>
    <row r="55" spans="2:7">
      <c r="B55" s="5" t="s">
        <v>72</v>
      </c>
      <c r="C55" s="5" t="s">
        <v>4</v>
      </c>
      <c r="D55" s="7">
        <v>5</v>
      </c>
      <c r="E55" s="5" t="s">
        <v>73</v>
      </c>
      <c r="F55" s="5" t="s">
        <v>74</v>
      </c>
      <c r="G55" s="5">
        <v>35</v>
      </c>
    </row>
    <row r="56" spans="2:7">
      <c r="B56" s="5" t="s">
        <v>75</v>
      </c>
      <c r="C56" s="5" t="s">
        <v>4</v>
      </c>
      <c r="D56" s="7">
        <v>50</v>
      </c>
      <c r="E56" s="5" t="s">
        <v>76</v>
      </c>
      <c r="F56" s="5" t="s">
        <v>51</v>
      </c>
      <c r="G56" s="5">
        <v>0</v>
      </c>
    </row>
    <row r="57" spans="2:7">
      <c r="B57" s="5" t="s">
        <v>77</v>
      </c>
      <c r="C57" s="5" t="s">
        <v>4</v>
      </c>
      <c r="D57" s="7">
        <v>45</v>
      </c>
      <c r="E57" s="5" t="s">
        <v>78</v>
      </c>
      <c r="F57" s="5" t="s">
        <v>51</v>
      </c>
      <c r="G57" s="5">
        <v>0</v>
      </c>
    </row>
    <row r="58" spans="2:7">
      <c r="B58" s="5" t="s">
        <v>79</v>
      </c>
      <c r="C58" s="5" t="s">
        <v>4</v>
      </c>
      <c r="D58" s="7">
        <v>40</v>
      </c>
      <c r="E58" s="5" t="s">
        <v>80</v>
      </c>
      <c r="F58" s="5" t="s">
        <v>51</v>
      </c>
      <c r="G58" s="5">
        <v>0</v>
      </c>
    </row>
    <row r="59" spans="2:7">
      <c r="B59" s="5" t="s">
        <v>30</v>
      </c>
      <c r="C59" s="5" t="s">
        <v>0</v>
      </c>
      <c r="D59" s="7">
        <v>5</v>
      </c>
      <c r="E59" s="5" t="s">
        <v>81</v>
      </c>
      <c r="F59" s="5" t="s">
        <v>74</v>
      </c>
      <c r="G59" s="5">
        <v>45</v>
      </c>
    </row>
    <row r="60" spans="2:7">
      <c r="B60" s="5" t="s">
        <v>31</v>
      </c>
      <c r="C60" s="5" t="s">
        <v>0</v>
      </c>
      <c r="D60" s="7">
        <v>0</v>
      </c>
      <c r="E60" s="5" t="s">
        <v>82</v>
      </c>
      <c r="F60" s="5" t="s">
        <v>74</v>
      </c>
      <c r="G60" s="5">
        <v>40</v>
      </c>
    </row>
    <row r="61" spans="2:7">
      <c r="B61" s="5" t="s">
        <v>31</v>
      </c>
      <c r="C61" s="5" t="s">
        <v>0</v>
      </c>
      <c r="D61" s="7">
        <v>0</v>
      </c>
      <c r="E61" s="5" t="s">
        <v>83</v>
      </c>
      <c r="F61" s="5" t="s">
        <v>51</v>
      </c>
      <c r="G61" s="7">
        <v>0</v>
      </c>
    </row>
    <row r="62" spans="2:7">
      <c r="B62" s="5" t="s">
        <v>32</v>
      </c>
      <c r="C62" s="5" t="s">
        <v>0</v>
      </c>
      <c r="D62" s="7">
        <v>50</v>
      </c>
      <c r="E62" s="5" t="s">
        <v>84</v>
      </c>
      <c r="F62" s="5" t="s">
        <v>74</v>
      </c>
      <c r="G62" s="5">
        <v>10</v>
      </c>
    </row>
    <row r="63" spans="2:7">
      <c r="B63" s="5" t="s">
        <v>32</v>
      </c>
      <c r="C63" s="5" t="s">
        <v>0</v>
      </c>
      <c r="D63" s="7">
        <v>50</v>
      </c>
      <c r="E63" s="5" t="s">
        <v>85</v>
      </c>
      <c r="F63" s="5" t="s">
        <v>74</v>
      </c>
      <c r="G63" s="7">
        <v>50</v>
      </c>
    </row>
    <row r="64" spans="2:7">
      <c r="B64" s="5" t="s">
        <v>33</v>
      </c>
      <c r="C64" s="5" t="s">
        <v>0</v>
      </c>
      <c r="D64" s="7">
        <v>0</v>
      </c>
      <c r="E64" s="5" t="s">
        <v>86</v>
      </c>
      <c r="F64" s="5" t="s">
        <v>74</v>
      </c>
      <c r="G64" s="5">
        <v>30</v>
      </c>
    </row>
    <row r="65" spans="2:7">
      <c r="B65" s="5" t="s">
        <v>33</v>
      </c>
      <c r="C65" s="5" t="s">
        <v>0</v>
      </c>
      <c r="D65" s="7">
        <v>0</v>
      </c>
      <c r="E65" s="5" t="s">
        <v>87</v>
      </c>
      <c r="F65" s="5" t="s">
        <v>51</v>
      </c>
      <c r="G65" s="7">
        <v>0</v>
      </c>
    </row>
    <row r="66" spans="2:7">
      <c r="B66" s="5" t="s">
        <v>34</v>
      </c>
      <c r="C66" s="5" t="s">
        <v>0</v>
      </c>
      <c r="D66" s="7">
        <v>45</v>
      </c>
      <c r="E66" s="5" t="s">
        <v>88</v>
      </c>
      <c r="F66" s="5" t="s">
        <v>51</v>
      </c>
      <c r="G66" s="5">
        <v>0</v>
      </c>
    </row>
    <row r="67" spans="2:7">
      <c r="B67" s="5" t="s">
        <v>34</v>
      </c>
      <c r="C67" s="5" t="s">
        <v>0</v>
      </c>
      <c r="D67" s="7">
        <v>45</v>
      </c>
      <c r="E67" s="5" t="s">
        <v>89</v>
      </c>
      <c r="F67" s="5" t="s">
        <v>74</v>
      </c>
      <c r="G67" s="7">
        <v>45</v>
      </c>
    </row>
    <row r="68" spans="2:7">
      <c r="B68" s="5" t="s">
        <v>35</v>
      </c>
      <c r="C68" s="5" t="s">
        <v>0</v>
      </c>
      <c r="D68" s="7">
        <v>0</v>
      </c>
      <c r="E68" s="5" t="s">
        <v>90</v>
      </c>
      <c r="F68" s="5" t="s">
        <v>74</v>
      </c>
      <c r="G68" s="5">
        <v>35</v>
      </c>
    </row>
    <row r="69" spans="2:7">
      <c r="B69" s="5" t="s">
        <v>36</v>
      </c>
      <c r="C69" s="5" t="s">
        <v>0</v>
      </c>
      <c r="D69" s="7">
        <v>35</v>
      </c>
      <c r="E69" s="5" t="s">
        <v>91</v>
      </c>
      <c r="F69" s="5" t="s">
        <v>74</v>
      </c>
      <c r="G69" s="5">
        <v>20</v>
      </c>
    </row>
    <row r="70" spans="2:7">
      <c r="B70" s="5" t="s">
        <v>37</v>
      </c>
      <c r="C70" s="5" t="s">
        <v>0</v>
      </c>
      <c r="D70" s="7">
        <v>5</v>
      </c>
      <c r="E70" s="5" t="s">
        <v>92</v>
      </c>
      <c r="F70" s="5" t="s">
        <v>74</v>
      </c>
      <c r="G70" s="5">
        <v>20</v>
      </c>
    </row>
    <row r="71" spans="2:7">
      <c r="B71" s="5" t="s">
        <v>38</v>
      </c>
      <c r="C71" s="5" t="s">
        <v>0</v>
      </c>
      <c r="D71" s="7">
        <v>10</v>
      </c>
      <c r="E71" s="5" t="s">
        <v>93</v>
      </c>
      <c r="F71" s="5" t="s">
        <v>74</v>
      </c>
      <c r="G71" s="5">
        <v>30</v>
      </c>
    </row>
    <row r="72" spans="2:7">
      <c r="B72" s="5" t="s">
        <v>39</v>
      </c>
      <c r="C72" s="5" t="s">
        <v>0</v>
      </c>
      <c r="D72" s="7">
        <v>25</v>
      </c>
      <c r="E72" s="5" t="s">
        <v>94</v>
      </c>
      <c r="F72" s="5" t="s">
        <v>74</v>
      </c>
      <c r="G72" s="5">
        <v>5</v>
      </c>
    </row>
    <row r="73" spans="2:7">
      <c r="B73" s="5" t="s">
        <v>40</v>
      </c>
      <c r="C73" s="5" t="s">
        <v>0</v>
      </c>
      <c r="D73" s="7">
        <v>25</v>
      </c>
      <c r="E73" s="5" t="s">
        <v>95</v>
      </c>
      <c r="F73" s="5" t="s">
        <v>74</v>
      </c>
      <c r="G73" s="5">
        <v>15</v>
      </c>
    </row>
    <row r="74" spans="2:7">
      <c r="B74" s="5" t="s">
        <v>41</v>
      </c>
      <c r="C74" s="5" t="s">
        <v>0</v>
      </c>
      <c r="D74" s="7">
        <v>30</v>
      </c>
      <c r="E74" s="5" t="s">
        <v>96</v>
      </c>
      <c r="F74" s="5" t="s">
        <v>74</v>
      </c>
      <c r="G74" s="5">
        <v>5</v>
      </c>
    </row>
    <row r="75" spans="2:7">
      <c r="B75" s="5" t="s">
        <v>42</v>
      </c>
      <c r="C75" s="5" t="s">
        <v>0</v>
      </c>
      <c r="D75" s="7">
        <v>15</v>
      </c>
      <c r="E75" s="5" t="s">
        <v>97</v>
      </c>
      <c r="F75" s="5" t="s">
        <v>74</v>
      </c>
      <c r="G75" s="5">
        <v>15</v>
      </c>
    </row>
    <row r="76" spans="2:7">
      <c r="B76" s="5" t="s">
        <v>43</v>
      </c>
      <c r="C76" s="5" t="s">
        <v>0</v>
      </c>
      <c r="D76" s="7">
        <v>0</v>
      </c>
      <c r="E76" s="5" t="s">
        <v>98</v>
      </c>
      <c r="F76" s="5" t="s">
        <v>74</v>
      </c>
      <c r="G76" s="5">
        <v>25</v>
      </c>
    </row>
    <row r="77" spans="2:7">
      <c r="B77" s="5" t="s">
        <v>44</v>
      </c>
      <c r="C77" s="5" t="s">
        <v>0</v>
      </c>
      <c r="D77" s="7">
        <v>0</v>
      </c>
      <c r="E77" s="5" t="s">
        <v>99</v>
      </c>
      <c r="F77" s="5" t="s">
        <v>74</v>
      </c>
      <c r="G77" s="5">
        <v>20</v>
      </c>
    </row>
    <row r="78" spans="2:7">
      <c r="B78" s="5" t="s">
        <v>45</v>
      </c>
      <c r="C78" s="5" t="s">
        <v>0</v>
      </c>
      <c r="D78" s="7">
        <v>15</v>
      </c>
      <c r="E78" s="5" t="s">
        <v>100</v>
      </c>
      <c r="F78" s="5" t="s">
        <v>74</v>
      </c>
      <c r="G78" s="5">
        <v>15</v>
      </c>
    </row>
    <row r="79" spans="2:7">
      <c r="B79" s="5" t="s">
        <v>46</v>
      </c>
      <c r="C79" s="5" t="s">
        <v>0</v>
      </c>
      <c r="D79" s="7">
        <v>20</v>
      </c>
      <c r="E79" s="5" t="s">
        <v>101</v>
      </c>
      <c r="F79" s="5" t="s">
        <v>74</v>
      </c>
      <c r="G79" s="5">
        <v>10</v>
      </c>
    </row>
    <row r="80" spans="2:7">
      <c r="B80" s="5" t="s">
        <v>47</v>
      </c>
      <c r="C80" s="5" t="s">
        <v>0</v>
      </c>
      <c r="D80" s="7">
        <v>25</v>
      </c>
      <c r="E80" s="5" t="s">
        <v>102</v>
      </c>
      <c r="F80" s="5" t="s">
        <v>74</v>
      </c>
      <c r="G80" s="5">
        <v>5</v>
      </c>
    </row>
    <row r="81" spans="2:7" ht="14.6" thickBot="1">
      <c r="B81" s="3" t="s">
        <v>48</v>
      </c>
      <c r="C81" s="3" t="s">
        <v>0</v>
      </c>
      <c r="D81" s="6">
        <v>15</v>
      </c>
      <c r="E81" s="3" t="s">
        <v>103</v>
      </c>
      <c r="F81" s="3" t="s">
        <v>74</v>
      </c>
      <c r="G81" s="3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AAF9-E882-40C7-9F96-9732E0CBB1E9}">
  <dimension ref="A1:H46"/>
  <sheetViews>
    <sheetView showGridLines="0" workbookViewId="0"/>
  </sheetViews>
  <sheetFormatPr defaultRowHeight="14.15"/>
  <cols>
    <col min="1" max="1" width="2.140625" customWidth="1"/>
    <col min="2" max="2" width="6.7109375" bestFit="1" customWidth="1"/>
    <col min="3" max="3" width="8.85546875" bestFit="1" customWidth="1"/>
    <col min="4" max="4" width="3.140625" bestFit="1" customWidth="1"/>
    <col min="5" max="5" width="4.85546875" bestFit="1" customWidth="1"/>
    <col min="6" max="8" width="6.7109375" bestFit="1" customWidth="1"/>
  </cols>
  <sheetData>
    <row r="1" spans="1:8">
      <c r="A1" s="2" t="s">
        <v>104</v>
      </c>
    </row>
    <row r="2" spans="1:8">
      <c r="A2" s="2" t="s">
        <v>7</v>
      </c>
    </row>
    <row r="3" spans="1:8">
      <c r="A3" s="2" t="s">
        <v>105</v>
      </c>
    </row>
    <row r="6" spans="1:8" ht="14.6" thickBot="1">
      <c r="A6" t="s">
        <v>22</v>
      </c>
    </row>
    <row r="7" spans="1:8">
      <c r="B7" s="8"/>
      <c r="C7" s="8"/>
      <c r="D7" s="8" t="s">
        <v>106</v>
      </c>
      <c r="E7" s="8" t="s">
        <v>108</v>
      </c>
      <c r="F7" s="8" t="s">
        <v>110</v>
      </c>
      <c r="G7" s="8" t="s">
        <v>112</v>
      </c>
      <c r="H7" s="8" t="s">
        <v>112</v>
      </c>
    </row>
    <row r="8" spans="1:8" ht="14.6" thickBot="1">
      <c r="B8" s="9" t="s">
        <v>18</v>
      </c>
      <c r="C8" s="9" t="s">
        <v>19</v>
      </c>
      <c r="D8" s="10" t="s">
        <v>107</v>
      </c>
      <c r="E8" s="10" t="s">
        <v>109</v>
      </c>
      <c r="F8" s="10" t="s">
        <v>111</v>
      </c>
      <c r="G8" s="10" t="s">
        <v>113</v>
      </c>
      <c r="H8" s="10" t="s">
        <v>114</v>
      </c>
    </row>
    <row r="9" spans="1:8">
      <c r="B9" s="5" t="s">
        <v>30</v>
      </c>
      <c r="C9" s="5" t="s">
        <v>0</v>
      </c>
      <c r="D9" s="5">
        <v>5</v>
      </c>
      <c r="E9" s="5">
        <v>0</v>
      </c>
      <c r="F9" s="5">
        <v>2</v>
      </c>
      <c r="G9" s="5">
        <v>0</v>
      </c>
      <c r="H9" s="5">
        <v>1</v>
      </c>
    </row>
    <row r="10" spans="1:8">
      <c r="B10" s="5" t="s">
        <v>31</v>
      </c>
      <c r="C10" s="5" t="s">
        <v>0</v>
      </c>
      <c r="D10" s="5">
        <v>0</v>
      </c>
      <c r="E10" s="5">
        <v>0</v>
      </c>
      <c r="F10" s="5">
        <v>3</v>
      </c>
      <c r="G10" s="5">
        <v>1E+30</v>
      </c>
      <c r="H10" s="5">
        <v>0</v>
      </c>
    </row>
    <row r="11" spans="1:8">
      <c r="B11" s="5" t="s">
        <v>32</v>
      </c>
      <c r="C11" s="5" t="s">
        <v>0</v>
      </c>
      <c r="D11" s="5">
        <v>50</v>
      </c>
      <c r="E11" s="5">
        <v>0</v>
      </c>
      <c r="F11" s="5">
        <v>1</v>
      </c>
      <c r="G11" s="5">
        <v>1</v>
      </c>
      <c r="H11" s="5">
        <v>1E+30</v>
      </c>
    </row>
    <row r="12" spans="1:8">
      <c r="B12" s="5" t="s">
        <v>33</v>
      </c>
      <c r="C12" s="5" t="s">
        <v>0</v>
      </c>
      <c r="D12" s="5">
        <v>0</v>
      </c>
      <c r="E12" s="5">
        <v>1</v>
      </c>
      <c r="F12" s="5">
        <v>4</v>
      </c>
      <c r="G12" s="5">
        <v>1E+30</v>
      </c>
      <c r="H12" s="5">
        <v>1</v>
      </c>
    </row>
    <row r="13" spans="1:8">
      <c r="B13" s="5" t="s">
        <v>34</v>
      </c>
      <c r="C13" s="5" t="s">
        <v>0</v>
      </c>
      <c r="D13" s="5">
        <v>45</v>
      </c>
      <c r="E13" s="5">
        <v>0</v>
      </c>
      <c r="F13" s="5">
        <v>2</v>
      </c>
      <c r="G13" s="5">
        <v>1</v>
      </c>
      <c r="H13" s="5">
        <v>1E+30</v>
      </c>
    </row>
    <row r="14" spans="1:8">
      <c r="B14" s="5" t="s">
        <v>35</v>
      </c>
      <c r="C14" s="5" t="s">
        <v>0</v>
      </c>
      <c r="D14" s="5">
        <v>0</v>
      </c>
      <c r="E14" s="5">
        <v>1</v>
      </c>
      <c r="F14" s="5">
        <v>3</v>
      </c>
      <c r="G14" s="5">
        <v>1E+30</v>
      </c>
      <c r="H14" s="5">
        <v>1</v>
      </c>
    </row>
    <row r="15" spans="1:8">
      <c r="B15" s="5" t="s">
        <v>36</v>
      </c>
      <c r="C15" s="5" t="s">
        <v>0</v>
      </c>
      <c r="D15" s="5">
        <v>35</v>
      </c>
      <c r="E15" s="5">
        <v>0</v>
      </c>
      <c r="F15" s="5">
        <v>1</v>
      </c>
      <c r="G15" s="5">
        <v>1</v>
      </c>
      <c r="H15" s="5">
        <v>0</v>
      </c>
    </row>
    <row r="16" spans="1:8">
      <c r="B16" s="5" t="s">
        <v>37</v>
      </c>
      <c r="C16" s="5" t="s">
        <v>0</v>
      </c>
      <c r="D16" s="5">
        <v>5</v>
      </c>
      <c r="E16" s="5">
        <v>0</v>
      </c>
      <c r="F16" s="5">
        <v>5</v>
      </c>
      <c r="G16" s="5">
        <v>0</v>
      </c>
      <c r="H16" s="5">
        <v>1</v>
      </c>
    </row>
    <row r="17" spans="1:8">
      <c r="B17" s="5" t="s">
        <v>38</v>
      </c>
      <c r="C17" s="5" t="s">
        <v>0</v>
      </c>
      <c r="D17" s="5">
        <v>10</v>
      </c>
      <c r="E17" s="5">
        <v>0</v>
      </c>
      <c r="F17" s="5">
        <v>2</v>
      </c>
      <c r="G17" s="5">
        <v>1</v>
      </c>
      <c r="H17" s="5">
        <v>0</v>
      </c>
    </row>
    <row r="18" spans="1:8">
      <c r="B18" s="5" t="s">
        <v>39</v>
      </c>
      <c r="C18" s="5" t="s">
        <v>0</v>
      </c>
      <c r="D18" s="5">
        <v>25</v>
      </c>
      <c r="E18" s="5">
        <v>0</v>
      </c>
      <c r="F18" s="5">
        <v>4</v>
      </c>
      <c r="G18" s="5">
        <v>0</v>
      </c>
      <c r="H18" s="5">
        <v>5</v>
      </c>
    </row>
    <row r="19" spans="1:8">
      <c r="B19" s="5" t="s">
        <v>40</v>
      </c>
      <c r="C19" s="5" t="s">
        <v>0</v>
      </c>
      <c r="D19" s="5">
        <v>25</v>
      </c>
      <c r="E19" s="5">
        <v>0</v>
      </c>
      <c r="F19" s="5">
        <v>2</v>
      </c>
      <c r="G19" s="5">
        <v>1</v>
      </c>
      <c r="H19" s="5">
        <v>4</v>
      </c>
    </row>
    <row r="20" spans="1:8">
      <c r="B20" s="5" t="s">
        <v>41</v>
      </c>
      <c r="C20" s="5" t="s">
        <v>0</v>
      </c>
      <c r="D20" s="5">
        <v>30</v>
      </c>
      <c r="E20" s="5">
        <v>0</v>
      </c>
      <c r="F20" s="5">
        <v>1</v>
      </c>
      <c r="G20" s="5">
        <v>1</v>
      </c>
      <c r="H20" s="5">
        <v>3</v>
      </c>
    </row>
    <row r="21" spans="1:8">
      <c r="B21" s="5" t="s">
        <v>42</v>
      </c>
      <c r="C21" s="5" t="s">
        <v>0</v>
      </c>
      <c r="D21" s="5">
        <v>15</v>
      </c>
      <c r="E21" s="5">
        <v>0</v>
      </c>
      <c r="F21" s="5">
        <v>3</v>
      </c>
      <c r="G21" s="5">
        <v>1</v>
      </c>
      <c r="H21" s="5">
        <v>0</v>
      </c>
    </row>
    <row r="22" spans="1:8">
      <c r="B22" s="5" t="s">
        <v>43</v>
      </c>
      <c r="C22" s="5" t="s">
        <v>0</v>
      </c>
      <c r="D22" s="5">
        <v>0</v>
      </c>
      <c r="E22" s="5">
        <v>0</v>
      </c>
      <c r="F22" s="5">
        <v>2</v>
      </c>
      <c r="G22" s="5">
        <v>1E+30</v>
      </c>
      <c r="H22" s="5">
        <v>0</v>
      </c>
    </row>
    <row r="23" spans="1:8">
      <c r="B23" s="5" t="s">
        <v>44</v>
      </c>
      <c r="C23" s="5" t="s">
        <v>0</v>
      </c>
      <c r="D23" s="5">
        <v>0</v>
      </c>
      <c r="E23" s="5">
        <v>0</v>
      </c>
      <c r="F23" s="5">
        <v>1</v>
      </c>
      <c r="G23" s="5">
        <v>1E+30</v>
      </c>
      <c r="H23" s="5">
        <v>0</v>
      </c>
    </row>
    <row r="24" spans="1:8">
      <c r="B24" s="5" t="s">
        <v>45</v>
      </c>
      <c r="C24" s="5" t="s">
        <v>0</v>
      </c>
      <c r="D24" s="5">
        <v>15</v>
      </c>
      <c r="E24" s="5">
        <v>0</v>
      </c>
      <c r="F24" s="5">
        <v>2</v>
      </c>
      <c r="G24" s="5">
        <v>1E+30</v>
      </c>
      <c r="H24" s="5">
        <v>4</v>
      </c>
    </row>
    <row r="25" spans="1:8">
      <c r="B25" s="5" t="s">
        <v>46</v>
      </c>
      <c r="C25" s="5" t="s">
        <v>0</v>
      </c>
      <c r="D25" s="5">
        <v>20</v>
      </c>
      <c r="E25" s="5">
        <v>0</v>
      </c>
      <c r="F25" s="5">
        <v>1</v>
      </c>
      <c r="G25" s="5">
        <v>1E+30</v>
      </c>
      <c r="H25" s="5">
        <v>3</v>
      </c>
    </row>
    <row r="26" spans="1:8">
      <c r="B26" s="5" t="s">
        <v>47</v>
      </c>
      <c r="C26" s="5" t="s">
        <v>0</v>
      </c>
      <c r="D26" s="5">
        <v>25</v>
      </c>
      <c r="E26" s="5">
        <v>0</v>
      </c>
      <c r="F26" s="5">
        <v>2</v>
      </c>
      <c r="G26" s="5">
        <v>1E+30</v>
      </c>
      <c r="H26" s="5">
        <v>5</v>
      </c>
    </row>
    <row r="27" spans="1:8" ht="14.6" thickBot="1">
      <c r="B27" s="3" t="s">
        <v>48</v>
      </c>
      <c r="C27" s="3" t="s">
        <v>0</v>
      </c>
      <c r="D27" s="3">
        <v>15</v>
      </c>
      <c r="E27" s="3">
        <v>0</v>
      </c>
      <c r="F27" s="3">
        <v>3</v>
      </c>
      <c r="G27" s="3">
        <v>1E+30</v>
      </c>
      <c r="H27" s="3">
        <v>6</v>
      </c>
    </row>
    <row r="29" spans="1:8" ht="14.6" thickBot="1">
      <c r="A29" t="s">
        <v>24</v>
      </c>
    </row>
    <row r="30" spans="1:8">
      <c r="B30" s="8"/>
      <c r="C30" s="8"/>
      <c r="D30" s="8" t="s">
        <v>106</v>
      </c>
      <c r="E30" s="8" t="s">
        <v>115</v>
      </c>
      <c r="F30" s="8" t="s">
        <v>24</v>
      </c>
      <c r="G30" s="8" t="s">
        <v>112</v>
      </c>
      <c r="H30" s="8" t="s">
        <v>112</v>
      </c>
    </row>
    <row r="31" spans="1:8" ht="14.6" thickBot="1">
      <c r="B31" s="9" t="s">
        <v>18</v>
      </c>
      <c r="C31" s="9" t="s">
        <v>19</v>
      </c>
      <c r="D31" s="10" t="s">
        <v>107</v>
      </c>
      <c r="E31" s="10" t="s">
        <v>116</v>
      </c>
      <c r="F31" s="10" t="s">
        <v>117</v>
      </c>
      <c r="G31" s="10" t="s">
        <v>113</v>
      </c>
      <c r="H31" s="10" t="s">
        <v>114</v>
      </c>
    </row>
    <row r="32" spans="1:8">
      <c r="B32" s="5" t="s">
        <v>49</v>
      </c>
      <c r="C32" s="5" t="s">
        <v>4</v>
      </c>
      <c r="D32" s="5">
        <v>35</v>
      </c>
      <c r="E32" s="5">
        <v>-1</v>
      </c>
      <c r="F32" s="5">
        <v>35</v>
      </c>
      <c r="G32" s="5">
        <v>5</v>
      </c>
      <c r="H32" s="5">
        <v>10</v>
      </c>
    </row>
    <row r="33" spans="2:8">
      <c r="B33" s="5" t="s">
        <v>52</v>
      </c>
      <c r="C33" s="5" t="s">
        <v>4</v>
      </c>
      <c r="D33" s="5">
        <v>0</v>
      </c>
      <c r="E33" s="5">
        <v>2</v>
      </c>
      <c r="F33" s="5">
        <v>0</v>
      </c>
      <c r="G33" s="5">
        <v>35</v>
      </c>
      <c r="H33" s="5">
        <v>5</v>
      </c>
    </row>
    <row r="34" spans="2:8">
      <c r="B34" s="5" t="s">
        <v>54</v>
      </c>
      <c r="C34" s="5" t="s">
        <v>4</v>
      </c>
      <c r="D34" s="5">
        <v>0</v>
      </c>
      <c r="E34" s="5">
        <v>3</v>
      </c>
      <c r="F34" s="5">
        <v>0</v>
      </c>
      <c r="G34" s="5">
        <v>15</v>
      </c>
      <c r="H34" s="5">
        <v>5</v>
      </c>
    </row>
    <row r="35" spans="2:8">
      <c r="B35" s="5" t="s">
        <v>56</v>
      </c>
      <c r="C35" s="5" t="s">
        <v>4</v>
      </c>
      <c r="D35" s="5">
        <v>25</v>
      </c>
      <c r="E35" s="5">
        <v>4</v>
      </c>
      <c r="F35" s="5">
        <v>25</v>
      </c>
      <c r="G35" s="5">
        <v>15</v>
      </c>
      <c r="H35" s="5">
        <v>5</v>
      </c>
    </row>
    <row r="36" spans="2:8">
      <c r="B36" s="5" t="s">
        <v>58</v>
      </c>
      <c r="C36" s="5" t="s">
        <v>4</v>
      </c>
      <c r="D36" s="5">
        <v>30</v>
      </c>
      <c r="E36" s="5">
        <v>3</v>
      </c>
      <c r="F36" s="5">
        <v>30</v>
      </c>
      <c r="G36" s="5">
        <v>5</v>
      </c>
      <c r="H36" s="5">
        <v>5</v>
      </c>
    </row>
    <row r="37" spans="2:8">
      <c r="B37" s="5" t="s">
        <v>60</v>
      </c>
      <c r="C37" s="5" t="s">
        <v>4</v>
      </c>
      <c r="D37" s="5">
        <v>20</v>
      </c>
      <c r="E37" s="5">
        <v>6</v>
      </c>
      <c r="F37" s="5">
        <v>20</v>
      </c>
      <c r="G37" s="5">
        <v>20</v>
      </c>
      <c r="H37" s="5">
        <v>5</v>
      </c>
    </row>
    <row r="38" spans="2:8">
      <c r="B38" s="5" t="s">
        <v>62</v>
      </c>
      <c r="C38" s="5" t="s">
        <v>4</v>
      </c>
      <c r="D38" s="5">
        <v>25</v>
      </c>
      <c r="E38" s="5">
        <v>5</v>
      </c>
      <c r="F38" s="5">
        <v>25</v>
      </c>
      <c r="G38" s="5">
        <v>5</v>
      </c>
      <c r="H38" s="5">
        <v>5</v>
      </c>
    </row>
    <row r="39" spans="2:8">
      <c r="B39" s="5" t="s">
        <v>64</v>
      </c>
      <c r="C39" s="5" t="s">
        <v>4</v>
      </c>
      <c r="D39" s="5">
        <v>15</v>
      </c>
      <c r="E39" s="5">
        <v>4</v>
      </c>
      <c r="F39" s="5">
        <v>15</v>
      </c>
      <c r="G39" s="5">
        <v>15</v>
      </c>
      <c r="H39" s="5">
        <v>5</v>
      </c>
    </row>
    <row r="40" spans="2:8">
      <c r="B40" s="5" t="s">
        <v>66</v>
      </c>
      <c r="C40" s="5" t="s">
        <v>4</v>
      </c>
      <c r="D40" s="5">
        <v>20</v>
      </c>
      <c r="E40" s="5">
        <v>3</v>
      </c>
      <c r="F40" s="5">
        <v>20</v>
      </c>
      <c r="G40" s="5">
        <v>10</v>
      </c>
      <c r="H40" s="5">
        <v>5</v>
      </c>
    </row>
    <row r="41" spans="2:8">
      <c r="B41" s="5" t="s">
        <v>68</v>
      </c>
      <c r="C41" s="5" t="s">
        <v>4</v>
      </c>
      <c r="D41" s="5">
        <v>25</v>
      </c>
      <c r="E41" s="5">
        <v>5</v>
      </c>
      <c r="F41" s="5">
        <v>25</v>
      </c>
      <c r="G41" s="5">
        <v>5</v>
      </c>
      <c r="H41" s="5">
        <v>5</v>
      </c>
    </row>
    <row r="42" spans="2:8">
      <c r="B42" s="5" t="s">
        <v>70</v>
      </c>
      <c r="C42" s="5" t="s">
        <v>4</v>
      </c>
      <c r="D42" s="5">
        <v>15</v>
      </c>
      <c r="E42" s="5">
        <v>6</v>
      </c>
      <c r="F42" s="5">
        <v>15</v>
      </c>
      <c r="G42" s="5">
        <v>15</v>
      </c>
      <c r="H42" s="5">
        <v>5</v>
      </c>
    </row>
    <row r="43" spans="2:8">
      <c r="B43" s="5" t="s">
        <v>72</v>
      </c>
      <c r="C43" s="5" t="s">
        <v>4</v>
      </c>
      <c r="D43" s="5">
        <v>5</v>
      </c>
      <c r="E43" s="5">
        <v>0</v>
      </c>
      <c r="F43" s="5">
        <v>40</v>
      </c>
      <c r="G43" s="5">
        <v>1E+30</v>
      </c>
      <c r="H43" s="5">
        <v>35</v>
      </c>
    </row>
    <row r="44" spans="2:8">
      <c r="B44" s="5" t="s">
        <v>75</v>
      </c>
      <c r="C44" s="5" t="s">
        <v>4</v>
      </c>
      <c r="D44" s="5">
        <v>50</v>
      </c>
      <c r="E44" s="5">
        <v>-1</v>
      </c>
      <c r="F44" s="5">
        <v>50</v>
      </c>
      <c r="G44" s="5">
        <v>5</v>
      </c>
      <c r="H44" s="5">
        <v>35</v>
      </c>
    </row>
    <row r="45" spans="2:8">
      <c r="B45" s="5" t="s">
        <v>77</v>
      </c>
      <c r="C45" s="5" t="s">
        <v>4</v>
      </c>
      <c r="D45" s="5">
        <v>45</v>
      </c>
      <c r="E45" s="5">
        <v>-1</v>
      </c>
      <c r="F45" s="5">
        <v>45</v>
      </c>
      <c r="G45" s="5">
        <v>0</v>
      </c>
      <c r="H45" s="5">
        <v>15</v>
      </c>
    </row>
    <row r="46" spans="2:8" ht="14.6" thickBot="1">
      <c r="B46" s="3" t="s">
        <v>79</v>
      </c>
      <c r="C46" s="3" t="s">
        <v>4</v>
      </c>
      <c r="D46" s="3">
        <v>40</v>
      </c>
      <c r="E46" s="3">
        <v>-1</v>
      </c>
      <c r="F46" s="3">
        <v>40</v>
      </c>
      <c r="G46" s="3">
        <v>5</v>
      </c>
      <c r="H46" s="3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95C3-3557-49F3-A57A-B4FF97BB1224}">
  <dimension ref="A1:J31"/>
  <sheetViews>
    <sheetView showGridLines="0" workbookViewId="0">
      <selection sqref="A1:A3"/>
    </sheetView>
  </sheetViews>
  <sheetFormatPr defaultRowHeight="14.15"/>
  <cols>
    <col min="1" max="1" width="2.140625" customWidth="1"/>
    <col min="2" max="2" width="6.7109375" bestFit="1" customWidth="1"/>
    <col min="3" max="3" width="4.85546875" bestFit="1" customWidth="1"/>
    <col min="4" max="4" width="4.140625" bestFit="1" customWidth="1"/>
    <col min="5" max="5" width="2.140625" customWidth="1"/>
    <col min="6" max="6" width="4.85546875" bestFit="1" customWidth="1"/>
    <col min="7" max="7" width="6.7109375" bestFit="1" customWidth="1"/>
    <col min="8" max="8" width="2.140625" customWidth="1"/>
    <col min="9" max="9" width="4.85546875" bestFit="1" customWidth="1"/>
    <col min="10" max="10" width="6.7109375" bestFit="1" customWidth="1"/>
  </cols>
  <sheetData>
    <row r="1" spans="1:10">
      <c r="A1" s="2" t="s">
        <v>118</v>
      </c>
    </row>
    <row r="2" spans="1:10">
      <c r="A2" s="2" t="s">
        <v>7</v>
      </c>
    </row>
    <row r="3" spans="1:10">
      <c r="A3" s="2" t="s">
        <v>119</v>
      </c>
    </row>
    <row r="5" spans="1:10" ht="14.6" thickBot="1"/>
    <row r="6" spans="1:10">
      <c r="B6" s="8"/>
      <c r="C6" s="8" t="s">
        <v>110</v>
      </c>
      <c r="D6" s="8"/>
    </row>
    <row r="7" spans="1:10" ht="14.6" thickBot="1">
      <c r="B7" s="9" t="s">
        <v>18</v>
      </c>
      <c r="C7" s="10" t="s">
        <v>19</v>
      </c>
      <c r="D7" s="9" t="s">
        <v>107</v>
      </c>
    </row>
    <row r="8" spans="1:10" ht="14.6" thickBot="1">
      <c r="B8" s="3" t="s">
        <v>29</v>
      </c>
      <c r="C8" s="3" t="s">
        <v>2</v>
      </c>
      <c r="D8" s="6">
        <v>600</v>
      </c>
    </row>
    <row r="10" spans="1:10" ht="14.6" thickBot="1"/>
    <row r="11" spans="1:10">
      <c r="B11" s="8"/>
      <c r="C11" s="8" t="s">
        <v>120</v>
      </c>
      <c r="D11" s="8"/>
      <c r="F11" s="8" t="s">
        <v>121</v>
      </c>
      <c r="G11" s="8" t="s">
        <v>110</v>
      </c>
      <c r="I11" s="8" t="s">
        <v>124</v>
      </c>
      <c r="J11" s="8" t="s">
        <v>110</v>
      </c>
    </row>
    <row r="12" spans="1:10" ht="14.6" thickBot="1">
      <c r="B12" s="9" t="s">
        <v>18</v>
      </c>
      <c r="C12" s="10" t="s">
        <v>19</v>
      </c>
      <c r="D12" s="9" t="s">
        <v>107</v>
      </c>
      <c r="F12" s="10" t="s">
        <v>122</v>
      </c>
      <c r="G12" s="10" t="s">
        <v>123</v>
      </c>
      <c r="I12" s="10" t="s">
        <v>122</v>
      </c>
      <c r="J12" s="10" t="s">
        <v>123</v>
      </c>
    </row>
    <row r="13" spans="1:10">
      <c r="B13" s="5" t="s">
        <v>30</v>
      </c>
      <c r="C13" s="5" t="s">
        <v>0</v>
      </c>
      <c r="D13" s="7">
        <v>5</v>
      </c>
      <c r="F13" s="7">
        <v>5</v>
      </c>
      <c r="G13" s="7">
        <v>600</v>
      </c>
      <c r="I13" s="7">
        <v>40</v>
      </c>
      <c r="J13" s="7">
        <v>670</v>
      </c>
    </row>
    <row r="14" spans="1:10">
      <c r="B14" s="5" t="s">
        <v>31</v>
      </c>
      <c r="C14" s="5" t="s">
        <v>0</v>
      </c>
      <c r="D14" s="7">
        <v>0</v>
      </c>
      <c r="F14" s="7">
        <v>0</v>
      </c>
      <c r="G14" s="7">
        <v>600</v>
      </c>
      <c r="I14" s="7">
        <v>35</v>
      </c>
      <c r="J14" s="7">
        <v>705</v>
      </c>
    </row>
    <row r="15" spans="1:10">
      <c r="B15" s="5" t="s">
        <v>32</v>
      </c>
      <c r="C15" s="5" t="s">
        <v>0</v>
      </c>
      <c r="D15" s="7">
        <v>50</v>
      </c>
      <c r="F15" s="7">
        <v>50</v>
      </c>
      <c r="G15" s="7">
        <v>600</v>
      </c>
      <c r="I15" s="7">
        <v>50</v>
      </c>
      <c r="J15" s="7">
        <v>600</v>
      </c>
    </row>
    <row r="16" spans="1:10">
      <c r="B16" s="5" t="s">
        <v>33</v>
      </c>
      <c r="C16" s="5" t="s">
        <v>0</v>
      </c>
      <c r="D16" s="7">
        <v>0</v>
      </c>
      <c r="F16" s="7">
        <v>0</v>
      </c>
      <c r="G16" s="7">
        <v>600</v>
      </c>
      <c r="I16" s="7">
        <v>0</v>
      </c>
      <c r="J16" s="7">
        <v>600</v>
      </c>
    </row>
    <row r="17" spans="2:10">
      <c r="B17" s="5" t="s">
        <v>34</v>
      </c>
      <c r="C17" s="5" t="s">
        <v>0</v>
      </c>
      <c r="D17" s="7">
        <v>45</v>
      </c>
      <c r="F17" s="7">
        <v>45</v>
      </c>
      <c r="G17" s="7">
        <v>600</v>
      </c>
      <c r="I17" s="7">
        <v>45</v>
      </c>
      <c r="J17" s="7">
        <v>600</v>
      </c>
    </row>
    <row r="18" spans="2:10">
      <c r="B18" s="5" t="s">
        <v>35</v>
      </c>
      <c r="C18" s="5" t="s">
        <v>0</v>
      </c>
      <c r="D18" s="7">
        <v>0</v>
      </c>
      <c r="F18" s="7">
        <v>0</v>
      </c>
      <c r="G18" s="7">
        <v>600</v>
      </c>
      <c r="I18" s="7">
        <v>0</v>
      </c>
      <c r="J18" s="7">
        <v>600</v>
      </c>
    </row>
    <row r="19" spans="2:10">
      <c r="B19" s="5" t="s">
        <v>36</v>
      </c>
      <c r="C19" s="5" t="s">
        <v>0</v>
      </c>
      <c r="D19" s="7">
        <v>35</v>
      </c>
      <c r="F19" s="7">
        <v>35</v>
      </c>
      <c r="G19" s="7">
        <v>600</v>
      </c>
      <c r="I19" s="7">
        <v>35</v>
      </c>
      <c r="J19" s="7">
        <v>600</v>
      </c>
    </row>
    <row r="20" spans="2:10">
      <c r="B20" s="5" t="s">
        <v>37</v>
      </c>
      <c r="C20" s="5" t="s">
        <v>0</v>
      </c>
      <c r="D20" s="7">
        <v>5</v>
      </c>
      <c r="F20" s="7">
        <v>5</v>
      </c>
      <c r="G20" s="7">
        <v>600</v>
      </c>
      <c r="I20" s="7">
        <v>5</v>
      </c>
      <c r="J20" s="7">
        <v>600</v>
      </c>
    </row>
    <row r="21" spans="2:10">
      <c r="B21" s="5" t="s">
        <v>38</v>
      </c>
      <c r="C21" s="5" t="s">
        <v>0</v>
      </c>
      <c r="D21" s="7">
        <v>10</v>
      </c>
      <c r="F21" s="7">
        <v>10</v>
      </c>
      <c r="G21" s="7">
        <v>600</v>
      </c>
      <c r="I21" s="7">
        <v>10</v>
      </c>
      <c r="J21" s="7">
        <v>600</v>
      </c>
    </row>
    <row r="22" spans="2:10">
      <c r="B22" s="5" t="s">
        <v>39</v>
      </c>
      <c r="C22" s="5" t="s">
        <v>0</v>
      </c>
      <c r="D22" s="7">
        <v>25</v>
      </c>
      <c r="F22" s="7">
        <v>25</v>
      </c>
      <c r="G22" s="7">
        <v>600</v>
      </c>
      <c r="I22" s="7">
        <v>25</v>
      </c>
      <c r="J22" s="7">
        <v>600</v>
      </c>
    </row>
    <row r="23" spans="2:10">
      <c r="B23" s="5" t="s">
        <v>40</v>
      </c>
      <c r="C23" s="5" t="s">
        <v>0</v>
      </c>
      <c r="D23" s="7">
        <v>25</v>
      </c>
      <c r="F23" s="7">
        <v>25</v>
      </c>
      <c r="G23" s="7">
        <v>600</v>
      </c>
      <c r="I23" s="7">
        <v>25</v>
      </c>
      <c r="J23" s="7">
        <v>600</v>
      </c>
    </row>
    <row r="24" spans="2:10">
      <c r="B24" s="5" t="s">
        <v>41</v>
      </c>
      <c r="C24" s="5" t="s">
        <v>0</v>
      </c>
      <c r="D24" s="7">
        <v>30</v>
      </c>
      <c r="F24" s="7">
        <v>30</v>
      </c>
      <c r="G24" s="7">
        <v>600</v>
      </c>
      <c r="I24" s="7">
        <v>30</v>
      </c>
      <c r="J24" s="7">
        <v>600</v>
      </c>
    </row>
    <row r="25" spans="2:10">
      <c r="B25" s="5" t="s">
        <v>42</v>
      </c>
      <c r="C25" s="5" t="s">
        <v>0</v>
      </c>
      <c r="D25" s="7">
        <v>15</v>
      </c>
      <c r="F25" s="7">
        <v>15</v>
      </c>
      <c r="G25" s="7">
        <v>600</v>
      </c>
      <c r="I25" s="7">
        <v>15</v>
      </c>
      <c r="J25" s="7">
        <v>600</v>
      </c>
    </row>
    <row r="26" spans="2:10">
      <c r="B26" s="5" t="s">
        <v>43</v>
      </c>
      <c r="C26" s="5" t="s">
        <v>0</v>
      </c>
      <c r="D26" s="7">
        <v>0</v>
      </c>
      <c r="F26" s="7">
        <v>0</v>
      </c>
      <c r="G26" s="7">
        <v>600</v>
      </c>
      <c r="I26" s="7">
        <v>0</v>
      </c>
      <c r="J26" s="7">
        <v>600</v>
      </c>
    </row>
    <row r="27" spans="2:10">
      <c r="B27" s="5" t="s">
        <v>44</v>
      </c>
      <c r="C27" s="5" t="s">
        <v>0</v>
      </c>
      <c r="D27" s="7">
        <v>0</v>
      </c>
      <c r="F27" s="7">
        <v>0</v>
      </c>
      <c r="G27" s="7">
        <v>600</v>
      </c>
      <c r="I27" s="7">
        <v>0</v>
      </c>
      <c r="J27" s="7">
        <v>600</v>
      </c>
    </row>
    <row r="28" spans="2:10">
      <c r="B28" s="5" t="s">
        <v>45</v>
      </c>
      <c r="C28" s="5" t="s">
        <v>0</v>
      </c>
      <c r="D28" s="7">
        <v>15</v>
      </c>
      <c r="F28" s="7">
        <v>15</v>
      </c>
      <c r="G28" s="7">
        <v>600</v>
      </c>
      <c r="I28" s="7">
        <v>15</v>
      </c>
      <c r="J28" s="7">
        <v>600</v>
      </c>
    </row>
    <row r="29" spans="2:10">
      <c r="B29" s="5" t="s">
        <v>46</v>
      </c>
      <c r="C29" s="5" t="s">
        <v>0</v>
      </c>
      <c r="D29" s="7">
        <v>20</v>
      </c>
      <c r="F29" s="7">
        <v>20</v>
      </c>
      <c r="G29" s="7">
        <v>600</v>
      </c>
      <c r="I29" s="7">
        <v>20</v>
      </c>
      <c r="J29" s="7">
        <v>600</v>
      </c>
    </row>
    <row r="30" spans="2:10">
      <c r="B30" s="5" t="s">
        <v>47</v>
      </c>
      <c r="C30" s="5" t="s">
        <v>0</v>
      </c>
      <c r="D30" s="7">
        <v>25</v>
      </c>
      <c r="F30" s="7">
        <v>25</v>
      </c>
      <c r="G30" s="7">
        <v>600</v>
      </c>
      <c r="I30" s="7">
        <v>25</v>
      </c>
      <c r="J30" s="7">
        <v>600</v>
      </c>
    </row>
    <row r="31" spans="2:10" ht="14.6" thickBot="1">
      <c r="B31" s="3" t="s">
        <v>48</v>
      </c>
      <c r="C31" s="3" t="s">
        <v>0</v>
      </c>
      <c r="D31" s="6">
        <v>15</v>
      </c>
      <c r="F31" s="6">
        <v>15</v>
      </c>
      <c r="G31" s="6">
        <v>600</v>
      </c>
      <c r="I31" s="6">
        <v>15</v>
      </c>
      <c r="J31" s="6">
        <v>600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22"/>
  <sheetViews>
    <sheetView tabSelected="1" zoomScale="115" zoomScaleNormal="115" workbookViewId="0">
      <selection activeCell="W9" sqref="W9"/>
    </sheetView>
  </sheetViews>
  <sheetFormatPr defaultRowHeight="14.15"/>
  <cols>
    <col min="2" max="4" width="3.140625" bestFit="1" customWidth="1"/>
    <col min="6" max="7" width="3.140625" bestFit="1" customWidth="1"/>
    <col min="9" max="10" width="3.140625" bestFit="1" customWidth="1"/>
    <col min="21" max="21" width="14.78515625" customWidth="1"/>
  </cols>
  <sheetData>
    <row r="2" spans="1:21">
      <c r="A2" t="s">
        <v>1</v>
      </c>
      <c r="B2">
        <v>5</v>
      </c>
      <c r="C2">
        <v>0</v>
      </c>
      <c r="D2">
        <v>50</v>
      </c>
      <c r="E2">
        <v>0</v>
      </c>
      <c r="F2">
        <v>45</v>
      </c>
      <c r="G2">
        <v>0</v>
      </c>
      <c r="H2">
        <v>35</v>
      </c>
      <c r="I2">
        <v>5</v>
      </c>
      <c r="J2">
        <v>10</v>
      </c>
      <c r="K2">
        <v>25</v>
      </c>
      <c r="L2">
        <v>25</v>
      </c>
      <c r="M2">
        <v>30</v>
      </c>
      <c r="N2">
        <v>15</v>
      </c>
      <c r="O2">
        <v>0</v>
      </c>
      <c r="P2">
        <v>0</v>
      </c>
      <c r="Q2">
        <v>15</v>
      </c>
      <c r="R2">
        <v>20</v>
      </c>
      <c r="S2">
        <v>25</v>
      </c>
      <c r="T2">
        <v>15</v>
      </c>
    </row>
    <row r="3" spans="1:21">
      <c r="A3" t="s">
        <v>3</v>
      </c>
      <c r="B3">
        <v>2</v>
      </c>
      <c r="C3">
        <v>3</v>
      </c>
      <c r="D3">
        <v>1</v>
      </c>
      <c r="E3">
        <v>4</v>
      </c>
      <c r="F3">
        <v>2</v>
      </c>
      <c r="G3">
        <v>3</v>
      </c>
      <c r="H3">
        <v>1</v>
      </c>
      <c r="I3">
        <v>5</v>
      </c>
      <c r="J3">
        <v>2</v>
      </c>
      <c r="K3">
        <v>4</v>
      </c>
      <c r="L3">
        <v>2</v>
      </c>
      <c r="M3">
        <v>1</v>
      </c>
      <c r="N3">
        <v>3</v>
      </c>
      <c r="O3">
        <v>2</v>
      </c>
      <c r="P3">
        <v>1</v>
      </c>
      <c r="Q3">
        <v>2</v>
      </c>
      <c r="R3">
        <v>1</v>
      </c>
      <c r="S3">
        <v>2</v>
      </c>
      <c r="T3">
        <v>3</v>
      </c>
      <c r="U3" s="1">
        <f>SUMPRODUCT(B2:T2, B3:T3)</f>
        <v>600</v>
      </c>
    </row>
    <row r="4" spans="1:21">
      <c r="A4" t="s">
        <v>5</v>
      </c>
      <c r="B4">
        <v>50</v>
      </c>
      <c r="C4">
        <v>40</v>
      </c>
      <c r="D4">
        <v>60</v>
      </c>
      <c r="E4">
        <v>30</v>
      </c>
      <c r="F4">
        <v>45</v>
      </c>
      <c r="G4">
        <v>35</v>
      </c>
      <c r="H4">
        <v>55</v>
      </c>
      <c r="I4">
        <v>25</v>
      </c>
      <c r="J4">
        <v>40</v>
      </c>
      <c r="K4">
        <v>30</v>
      </c>
      <c r="L4">
        <v>40</v>
      </c>
      <c r="M4">
        <v>35</v>
      </c>
      <c r="N4">
        <v>30</v>
      </c>
      <c r="O4">
        <v>25</v>
      </c>
      <c r="P4">
        <v>20</v>
      </c>
      <c r="Q4">
        <v>30</v>
      </c>
      <c r="R4">
        <v>30</v>
      </c>
      <c r="S4">
        <v>30</v>
      </c>
      <c r="T4">
        <v>30</v>
      </c>
    </row>
    <row r="6" spans="1:21">
      <c r="A6">
        <f>B2+C2</f>
        <v>5</v>
      </c>
      <c r="B6">
        <v>40</v>
      </c>
    </row>
    <row r="7" spans="1:21">
      <c r="A7">
        <f>D2+E2</f>
        <v>50</v>
      </c>
      <c r="B7">
        <v>50</v>
      </c>
    </row>
    <row r="8" spans="1:21">
      <c r="A8">
        <f>F2+G2</f>
        <v>45</v>
      </c>
      <c r="B8">
        <v>45</v>
      </c>
    </row>
    <row r="9" spans="1:21">
      <c r="A9">
        <f>H2+I2</f>
        <v>40</v>
      </c>
      <c r="B9">
        <v>40</v>
      </c>
    </row>
    <row r="10" spans="1:21">
      <c r="A10">
        <f>J2+K2</f>
        <v>35</v>
      </c>
      <c r="B10">
        <v>35</v>
      </c>
    </row>
    <row r="12" spans="1:21">
      <c r="A12">
        <f>(B2+D2+H2)-(L2+M2+P2+Q2+R2)</f>
        <v>0</v>
      </c>
      <c r="B12">
        <v>0</v>
      </c>
    </row>
    <row r="13" spans="1:21">
      <c r="A13">
        <f>(C2+F2+J2+P2)-(N2+O2+S2+T2)</f>
        <v>0</v>
      </c>
      <c r="B13">
        <v>0</v>
      </c>
    </row>
    <row r="15" spans="1:21">
      <c r="A15">
        <f>E2+L2</f>
        <v>25</v>
      </c>
      <c r="B15">
        <v>25</v>
      </c>
    </row>
    <row r="16" spans="1:21">
      <c r="A16">
        <f>G2+M2</f>
        <v>30</v>
      </c>
      <c r="B16">
        <v>30</v>
      </c>
    </row>
    <row r="17" spans="1:2">
      <c r="A17">
        <f>I2+N2</f>
        <v>20</v>
      </c>
      <c r="B17">
        <v>20</v>
      </c>
    </row>
    <row r="18" spans="1:2">
      <c r="A18">
        <f>K2+O2</f>
        <v>25</v>
      </c>
      <c r="B18">
        <v>25</v>
      </c>
    </row>
    <row r="19" spans="1:2">
      <c r="A19">
        <f>Q2</f>
        <v>15</v>
      </c>
      <c r="B19">
        <v>15</v>
      </c>
    </row>
    <row r="20" spans="1:2">
      <c r="A20">
        <f>R2</f>
        <v>20</v>
      </c>
      <c r="B20">
        <v>20</v>
      </c>
    </row>
    <row r="21" spans="1:2">
      <c r="A21">
        <f>S2</f>
        <v>25</v>
      </c>
      <c r="B21">
        <v>25</v>
      </c>
    </row>
    <row r="22" spans="1:2">
      <c r="A22">
        <f>T2</f>
        <v>15</v>
      </c>
      <c r="B22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运算结果报告 1</vt:lpstr>
      <vt:lpstr>敏感性报告 1</vt:lpstr>
      <vt:lpstr>极限值报告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</dc:creator>
  <cp:lastModifiedBy>Wang zh</cp:lastModifiedBy>
  <dcterms:created xsi:type="dcterms:W3CDTF">2015-06-05T18:19:34Z</dcterms:created>
  <dcterms:modified xsi:type="dcterms:W3CDTF">2025-10-17T16:07:45Z</dcterms:modified>
</cp:coreProperties>
</file>